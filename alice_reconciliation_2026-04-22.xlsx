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365x97078969-my.sharepoint.com/personal/sysadmin_wondercorp_jp/Documents/2. Management/Reconciliation/"/>
    </mc:Choice>
  </mc:AlternateContent>
  <xr:revisionPtr revIDLastSave="0" documentId="8_{B249FA76-F2D5-429E-8BB0-80E4A24E83DD}" xr6:coauthVersionLast="47" xr6:coauthVersionMax="47" xr10:uidLastSave="{00000000-0000-0000-0000-000000000000}"/>
  <bookViews>
    <workbookView xWindow="380" yWindow="380" windowWidth="28640" windowHeight="14490" xr2:uid="{975DA11C-9FA7-4620-B10B-EDF08198590E}"/>
  </bookViews>
  <sheets>
    <sheet name="Mainframe TRANLIST" sheetId="1" r:id="rId1"/>
    <sheet name="CheshirePay Settle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</calcChain>
</file>

<file path=xl/sharedStrings.xml><?xml version="1.0" encoding="utf-8"?>
<sst xmlns="http://schemas.openxmlformats.org/spreadsheetml/2006/main" count="126" uniqueCount="89">
  <si>
    <t>Txn ID</t>
  </si>
  <si>
    <t>Time</t>
  </si>
  <si>
    <t>Account No</t>
  </si>
  <si>
    <t>Customer ID</t>
  </si>
  <si>
    <t>Type</t>
  </si>
  <si>
    <t>Amount</t>
  </si>
  <si>
    <t>Balance</t>
  </si>
  <si>
    <t>TXN00043921</t>
  </si>
  <si>
    <t>08:12:04</t>
  </si>
  <si>
    <t>1001-0025-7731</t>
  </si>
  <si>
    <t>C00017842</t>
  </si>
  <si>
    <t>DEP</t>
  </si>
  <si>
    <t>TXN00043922</t>
  </si>
  <si>
    <t>08:47:51</t>
  </si>
  <si>
    <t>1001-0041-2200</t>
  </si>
  <si>
    <t>C00019210</t>
  </si>
  <si>
    <t>WDL</t>
  </si>
  <si>
    <t>TXN00043923</t>
  </si>
  <si>
    <t>09:03:19</t>
  </si>
  <si>
    <t>1001-0088-4410</t>
  </si>
  <si>
    <t>C00022114</t>
  </si>
  <si>
    <t>TXN00043924</t>
  </si>
  <si>
    <t>09:21:02</t>
  </si>
  <si>
    <t>TXN00043925</t>
  </si>
  <si>
    <t>10:05:44</t>
  </si>
  <si>
    <t>1001-0105-9920</t>
  </si>
  <si>
    <t>C00028701</t>
  </si>
  <si>
    <t>XFR</t>
  </si>
  <si>
    <t>TXN00043926</t>
  </si>
  <si>
    <t>10:18:33</t>
  </si>
  <si>
    <t>1001-0202-1188</t>
  </si>
  <si>
    <t>C00031005</t>
  </si>
  <si>
    <t>TXN00043927</t>
  </si>
  <si>
    <t>11:02:15</t>
  </si>
  <si>
    <t>TXN00043928</t>
  </si>
  <si>
    <t>11:44:08</t>
  </si>
  <si>
    <t>1001-0311-0077</t>
  </si>
  <si>
    <t>C00034520</t>
  </si>
  <si>
    <t>TXN00043929</t>
  </si>
  <si>
    <t>13:10:29</t>
  </si>
  <si>
    <t>TXN00043930</t>
  </si>
  <si>
    <t>14:02:51</t>
  </si>
  <si>
    <t>1001-0420-5533</t>
  </si>
  <si>
    <t>C00038915</t>
  </si>
  <si>
    <t>TXN00043931</t>
  </si>
  <si>
    <t>14:35:17</t>
  </si>
  <si>
    <t>1001-0511-7788</t>
  </si>
  <si>
    <t>C00040122</t>
  </si>
  <si>
    <t>TXN00043932</t>
  </si>
  <si>
    <t>15:11:40</t>
  </si>
  <si>
    <t>TXN00043933</t>
  </si>
  <si>
    <t>15:58:22</t>
  </si>
  <si>
    <t>1001-0620-1122</t>
  </si>
  <si>
    <t>C00042330</t>
  </si>
  <si>
    <t>TXN00043934</t>
  </si>
  <si>
    <t>16:30:05</t>
  </si>
  <si>
    <t>1001-0715-3344</t>
  </si>
  <si>
    <t>C00045011</t>
  </si>
  <si>
    <t>TXN00043935</t>
  </si>
  <si>
    <t>16:52:18</t>
  </si>
  <si>
    <t>Credits</t>
  </si>
  <si>
    <t>Debits</t>
  </si>
  <si>
    <t>Net</t>
  </si>
  <si>
    <t>Count</t>
  </si>
  <si>
    <t>Merchant:</t>
  </si>
  <si>
    <t>WBNK-MERCH-0042</t>
  </si>
  <si>
    <t>Report Date:</t>
  </si>
  <si>
    <t>2026-04-22</t>
  </si>
  <si>
    <t>Generated:</t>
  </si>
  <si>
    <t>2026-04-23 03:00 UTC</t>
  </si>
  <si>
    <t>Currency:</t>
  </si>
  <si>
    <t>USD</t>
  </si>
  <si>
    <t>SUMMARY</t>
  </si>
  <si>
    <t>Gross Volume</t>
  </si>
  <si>
    <t>Refunds</t>
  </si>
  <si>
    <t>Chargebacks</t>
  </si>
  <si>
    <t>Processing Fees</t>
  </si>
  <si>
    <t>Net Settlement</t>
  </si>
  <si>
    <t>Transactions</t>
  </si>
  <si>
    <t>Status</t>
  </si>
  <si>
    <t>CP78451001</t>
  </si>
  <si>
    <t>SETTLED</t>
  </si>
  <si>
    <t>CP78451002</t>
  </si>
  <si>
    <t>CP78451003</t>
  </si>
  <si>
    <t>CP78451004</t>
  </si>
  <si>
    <t>CP78451005</t>
  </si>
  <si>
    <t>CP78451006</t>
  </si>
  <si>
    <t>CP78451007</t>
  </si>
  <si>
    <t>HELD (REVIEW)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</si>
</sst>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6A2D"/>
        <bgColor indexed="64"/>
      </patternFill>
    </fill>
    <fill>
      <patternFill patternType="solid">
        <fgColor rgb="FF6B2B8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49" fontId="3" fillId="0" borderId="1" xfId="0" applyNumberFormat="1" applyFont="1" applyBorder="1"/>
    <xf numFmtId="164" fontId="3" fillId="0" borderId="1" xfId="0" applyNumberFormat="1" applyFont="1" applyBorder="1"/>
    <xf numFmtId="164" fontId="0" fillId="0" borderId="0" xfId="0" applyNumberFormat="1"/>
    <xf numFmtId="0" fontId="4" fillId="0" borderId="0" xfId="0" applyFont="1" applyAlignment="1">
      <alignment horizontal="right"/>
    </xf>
    <xf numFmtId="49" fontId="1" fillId="0" borderId="0" xfId="0" applyNumberFormat="1" applyFont="1"/>
    <xf numFmtId="3" fontId="0" fillId="0" borderId="0" xfId="0" applyNumberFormat="1"/>
    <xf numFmtId="0" fontId="2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F0182-0543-4C91-9233-98F1343F8011}">
  <dimension ref="A1:G21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4.6328125" customWidth="1"/>
    <col min="2" max="2" width="11.6328125" customWidth="1"/>
    <col min="3" max="3" width="18.6328125" customWidth="1"/>
    <col min="4" max="4" width="13.6328125" customWidth="1"/>
    <col min="5" max="5" width="10.6328125" customWidth="1"/>
    <col min="6" max="6" width="14.6328125" customWidth="1"/>
    <col min="7" max="7" width="16.6328125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>
        <v>5200</v>
      </c>
      <c r="G2" s="5">
        <v>48310.22</v>
      </c>
    </row>
    <row r="3" spans="1:7" x14ac:dyDescent="0.3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5">
        <v>-1100</v>
      </c>
      <c r="G3" s="5">
        <v>12908.45</v>
      </c>
    </row>
    <row r="4" spans="1:7" x14ac:dyDescent="0.35">
      <c r="A4" s="4" t="s">
        <v>17</v>
      </c>
      <c r="B4" s="4" t="s">
        <v>18</v>
      </c>
      <c r="C4" s="4" t="s">
        <v>19</v>
      </c>
      <c r="D4" s="4" t="s">
        <v>20</v>
      </c>
      <c r="E4" s="4" t="s">
        <v>11</v>
      </c>
      <c r="F4" s="5">
        <v>15000</v>
      </c>
      <c r="G4" s="5">
        <v>221455</v>
      </c>
    </row>
    <row r="5" spans="1:7" x14ac:dyDescent="0.35">
      <c r="A5" s="4" t="s">
        <v>21</v>
      </c>
      <c r="B5" s="4" t="s">
        <v>22</v>
      </c>
      <c r="C5" s="4" t="s">
        <v>14</v>
      </c>
      <c r="D5" s="4" t="s">
        <v>15</v>
      </c>
      <c r="E5" s="4" t="s">
        <v>16</v>
      </c>
      <c r="F5" s="5">
        <v>-450</v>
      </c>
      <c r="G5" s="5">
        <v>12458.45</v>
      </c>
    </row>
    <row r="6" spans="1:7" x14ac:dyDescent="0.35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5">
        <v>-2300</v>
      </c>
      <c r="G6" s="5">
        <v>8770.1</v>
      </c>
    </row>
    <row r="7" spans="1:7" x14ac:dyDescent="0.35">
      <c r="A7" s="4" t="s">
        <v>28</v>
      </c>
      <c r="B7" s="4" t="s">
        <v>29</v>
      </c>
      <c r="C7" s="4" t="s">
        <v>30</v>
      </c>
      <c r="D7" s="4" t="s">
        <v>31</v>
      </c>
      <c r="E7" s="4" t="s">
        <v>11</v>
      </c>
      <c r="F7" s="5">
        <v>980</v>
      </c>
      <c r="G7" s="5">
        <v>6420</v>
      </c>
    </row>
    <row r="8" spans="1:7" x14ac:dyDescent="0.35">
      <c r="A8" s="4" t="s">
        <v>32</v>
      </c>
      <c r="B8" s="4" t="s">
        <v>33</v>
      </c>
      <c r="C8" s="4" t="s">
        <v>14</v>
      </c>
      <c r="D8" s="4" t="s">
        <v>15</v>
      </c>
      <c r="E8" s="4" t="s">
        <v>11</v>
      </c>
      <c r="F8" s="5">
        <v>3000</v>
      </c>
      <c r="G8" s="5">
        <v>15458.45</v>
      </c>
    </row>
    <row r="9" spans="1:7" x14ac:dyDescent="0.35">
      <c r="A9" s="4" t="s">
        <v>34</v>
      </c>
      <c r="B9" s="4" t="s">
        <v>35</v>
      </c>
      <c r="C9" s="4" t="s">
        <v>36</v>
      </c>
      <c r="D9" s="4" t="s">
        <v>37</v>
      </c>
      <c r="E9" s="4" t="s">
        <v>16</v>
      </c>
      <c r="F9" s="5">
        <v>-600</v>
      </c>
      <c r="G9" s="5">
        <v>21300</v>
      </c>
    </row>
    <row r="10" spans="1:7" x14ac:dyDescent="0.35">
      <c r="A10" s="4" t="s">
        <v>38</v>
      </c>
      <c r="B10" s="4" t="s">
        <v>39</v>
      </c>
      <c r="C10" s="4" t="s">
        <v>19</v>
      </c>
      <c r="D10" s="4" t="s">
        <v>20</v>
      </c>
      <c r="E10" s="4" t="s">
        <v>16</v>
      </c>
      <c r="F10" s="5">
        <v>-5000</v>
      </c>
      <c r="G10" s="5">
        <v>216455</v>
      </c>
    </row>
    <row r="11" spans="1:7" x14ac:dyDescent="0.35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11</v>
      </c>
      <c r="F11" s="5">
        <v>1250</v>
      </c>
      <c r="G11" s="5">
        <v>42010.77</v>
      </c>
    </row>
    <row r="12" spans="1:7" x14ac:dyDescent="0.35">
      <c r="A12" s="4" t="s">
        <v>44</v>
      </c>
      <c r="B12" s="4" t="s">
        <v>45</v>
      </c>
      <c r="C12" s="4" t="s">
        <v>46</v>
      </c>
      <c r="D12" s="4" t="s">
        <v>47</v>
      </c>
      <c r="E12" s="4" t="s">
        <v>11</v>
      </c>
      <c r="F12" s="5">
        <v>12000</v>
      </c>
      <c r="G12" s="5">
        <v>88044</v>
      </c>
    </row>
    <row r="13" spans="1:7" x14ac:dyDescent="0.35">
      <c r="A13" s="4" t="s">
        <v>48</v>
      </c>
      <c r="B13" s="4" t="s">
        <v>49</v>
      </c>
      <c r="C13" s="4" t="s">
        <v>25</v>
      </c>
      <c r="D13" s="4" t="s">
        <v>26</v>
      </c>
      <c r="E13" s="4" t="s">
        <v>11</v>
      </c>
      <c r="F13" s="5">
        <v>500</v>
      </c>
      <c r="G13" s="5">
        <v>9270.1</v>
      </c>
    </row>
    <row r="14" spans="1:7" x14ac:dyDescent="0.35">
      <c r="A14" s="4" t="s">
        <v>50</v>
      </c>
      <c r="B14" s="4" t="s">
        <v>51</v>
      </c>
      <c r="C14" s="4" t="s">
        <v>52</v>
      </c>
      <c r="D14" s="4" t="s">
        <v>53</v>
      </c>
      <c r="E14" s="4" t="s">
        <v>16</v>
      </c>
      <c r="F14" s="5">
        <v>-300</v>
      </c>
      <c r="G14" s="5">
        <v>4700</v>
      </c>
    </row>
    <row r="15" spans="1:7" x14ac:dyDescent="0.35">
      <c r="A15" s="4" t="s">
        <v>54</v>
      </c>
      <c r="B15" s="4" t="s">
        <v>55</v>
      </c>
      <c r="C15" s="4" t="s">
        <v>56</v>
      </c>
      <c r="D15" s="4" t="s">
        <v>57</v>
      </c>
      <c r="E15" s="4" t="s">
        <v>27</v>
      </c>
      <c r="F15" s="5">
        <v>-7800</v>
      </c>
      <c r="G15" s="5">
        <v>102200</v>
      </c>
    </row>
    <row r="16" spans="1:7" x14ac:dyDescent="0.35">
      <c r="A16" s="4" t="s">
        <v>58</v>
      </c>
      <c r="B16" s="4" t="s">
        <v>59</v>
      </c>
      <c r="C16" s="4" t="s">
        <v>36</v>
      </c>
      <c r="D16" s="4" t="s">
        <v>37</v>
      </c>
      <c r="E16" s="4" t="s">
        <v>11</v>
      </c>
      <c r="F16" s="5">
        <v>200</v>
      </c>
      <c r="G16" s="5">
        <v>21500</v>
      </c>
    </row>
    <row r="18" spans="5:6" x14ac:dyDescent="0.35">
      <c r="E18" t="s">
        <v>60</v>
      </c>
      <c r="F18">
        <f>SUMIF(F2:F16,"&gt;0")</f>
        <v>38130</v>
      </c>
    </row>
    <row r="19" spans="5:6" x14ac:dyDescent="0.35">
      <c r="E19" t="s">
        <v>61</v>
      </c>
      <c r="F19">
        <f>SUMIF(F2:F16,"&lt;0")</f>
        <v>-17550</v>
      </c>
    </row>
    <row r="20" spans="5:6" x14ac:dyDescent="0.35">
      <c r="E20" t="s">
        <v>62</v>
      </c>
      <c r="F20" s="6">
        <f>SUM(F2:F16)</f>
        <v>20580</v>
      </c>
    </row>
    <row r="21" spans="5:6" x14ac:dyDescent="0.35">
      <c r="E21" s="7" t="s">
        <v>63</v>
      </c>
      <c r="F21">
        <f>COUNTA(A2:A16)</f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81EB-B6B4-41E7-A29A-E43DE82B3318}">
  <dimension ref="A1:D21"/>
  <sheetViews>
    <sheetView workbookViewId="0"/>
  </sheetViews>
  <sheetFormatPr defaultRowHeight="14.5" x14ac:dyDescent="0.35"/>
  <cols>
    <col min="1" max="1" width="20.6328125" customWidth="1"/>
    <col min="2" max="3" width="15.6328125" customWidth="1"/>
    <col min="4" max="4" width="18.6328125" customWidth="1"/>
  </cols>
  <sheetData>
    <row r="1" spans="1:4" x14ac:dyDescent="0.35">
      <c r="A1" s="8" t="s">
        <v>64</v>
      </c>
      <c r="B1" s="1" t="s">
        <v>65</v>
      </c>
    </row>
    <row r="2" spans="1:4" x14ac:dyDescent="0.35">
      <c r="A2" s="8" t="s">
        <v>66</v>
      </c>
      <c r="B2" s="1" t="s">
        <v>67</v>
      </c>
    </row>
    <row r="3" spans="1:4" x14ac:dyDescent="0.35">
      <c r="A3" s="8" t="s">
        <v>68</v>
      </c>
      <c r="B3" s="1" t="s">
        <v>69</v>
      </c>
    </row>
    <row r="4" spans="1:4" x14ac:dyDescent="0.35">
      <c r="A4" s="8" t="s">
        <v>70</v>
      </c>
      <c r="B4" s="1" t="s">
        <v>71</v>
      </c>
    </row>
    <row r="6" spans="1:4" x14ac:dyDescent="0.35">
      <c r="A6" s="2" t="s">
        <v>72</v>
      </c>
    </row>
    <row r="7" spans="1:4" x14ac:dyDescent="0.35">
      <c r="A7" t="s">
        <v>73</v>
      </c>
      <c r="B7" s="6">
        <v>387420.18</v>
      </c>
    </row>
    <row r="8" spans="1:4" x14ac:dyDescent="0.35">
      <c r="A8" t="s">
        <v>74</v>
      </c>
      <c r="B8" s="6">
        <v>-4215.63</v>
      </c>
    </row>
    <row r="9" spans="1:4" x14ac:dyDescent="0.35">
      <c r="A9" t="s">
        <v>75</v>
      </c>
      <c r="B9" s="6">
        <v>-2100</v>
      </c>
    </row>
    <row r="10" spans="1:4" x14ac:dyDescent="0.35">
      <c r="A10" t="s">
        <v>76</v>
      </c>
      <c r="B10" s="6">
        <v>0</v>
      </c>
    </row>
    <row r="11" spans="1:4" x14ac:dyDescent="0.35">
      <c r="A11" t="s">
        <v>77</v>
      </c>
      <c r="B11" s="6">
        <v>381104.55</v>
      </c>
    </row>
    <row r="12" spans="1:4" x14ac:dyDescent="0.35">
      <c r="A12" t="s">
        <v>78</v>
      </c>
      <c r="B12" s="9">
        <v>1284</v>
      </c>
    </row>
    <row r="14" spans="1:4" x14ac:dyDescent="0.35">
      <c r="A14" s="10" t="s">
        <v>0</v>
      </c>
      <c r="B14" s="10" t="s">
        <v>3</v>
      </c>
      <c r="C14" s="10" t="s">
        <v>5</v>
      </c>
      <c r="D14" s="10" t="s">
        <v>79</v>
      </c>
    </row>
    <row r="15" spans="1:4" x14ac:dyDescent="0.35">
      <c r="A15" s="4" t="s">
        <v>80</v>
      </c>
      <c r="B15" s="4" t="s">
        <v>10</v>
      </c>
      <c r="C15" s="11">
        <v>5200</v>
      </c>
      <c r="D15" s="12" t="s">
        <v>81</v>
      </c>
    </row>
    <row r="16" spans="1:4" x14ac:dyDescent="0.35">
      <c r="A16" s="4" t="s">
        <v>82</v>
      </c>
      <c r="B16" s="4" t="s">
        <v>15</v>
      </c>
      <c r="C16" s="11">
        <v>1900</v>
      </c>
      <c r="D16" s="12" t="s">
        <v>81</v>
      </c>
    </row>
    <row r="17" spans="1:4" x14ac:dyDescent="0.35">
      <c r="A17" s="4" t="s">
        <v>83</v>
      </c>
      <c r="B17" s="4" t="s">
        <v>20</v>
      </c>
      <c r="C17" s="11">
        <v>15000</v>
      </c>
      <c r="D17" s="12" t="s">
        <v>81</v>
      </c>
    </row>
    <row r="18" spans="1:4" x14ac:dyDescent="0.35">
      <c r="A18" s="4" t="s">
        <v>84</v>
      </c>
      <c r="B18" s="4" t="s">
        <v>26</v>
      </c>
      <c r="C18" s="11">
        <v>2800</v>
      </c>
      <c r="D18" s="12" t="s">
        <v>81</v>
      </c>
    </row>
    <row r="19" spans="1:4" x14ac:dyDescent="0.35">
      <c r="A19" s="4" t="s">
        <v>85</v>
      </c>
      <c r="B19" s="4" t="s">
        <v>31</v>
      </c>
      <c r="C19" s="11">
        <v>980</v>
      </c>
      <c r="D19" s="12" t="s">
        <v>81</v>
      </c>
    </row>
    <row r="20" spans="1:4" x14ac:dyDescent="0.35">
      <c r="A20" s="4" t="s">
        <v>86</v>
      </c>
      <c r="B20" s="4" t="s">
        <v>47</v>
      </c>
      <c r="C20" s="11">
        <v>12000</v>
      </c>
      <c r="D20" s="12" t="s">
        <v>81</v>
      </c>
    </row>
    <row r="21" spans="1:4" x14ac:dyDescent="0.35">
      <c r="A21" s="4" t="s">
        <v>87</v>
      </c>
      <c r="B21" s="4" t="s">
        <v>57</v>
      </c>
      <c r="C21" s="11">
        <v>7800</v>
      </c>
      <c r="D21" s="1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Mainframe TRANLIST</vt:lpstr>
      <vt:lpstr>CheshirePay Settlement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Sysadmin</cp:lastModifiedBy>
  <dcterms:created xsi:type="dcterms:W3CDTF">2026-04-23T14:18:16Z</dcterms:created>
  <dcterms:modified xsi:type="dcterms:W3CDTF">2026-04-23T14:18:20Z</dcterms:modified>
</cp:coreProperties>
</file>