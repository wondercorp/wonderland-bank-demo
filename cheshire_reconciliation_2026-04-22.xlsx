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x97078969-my.sharepoint.com/personal/sysadmin_wondercorp_jp/Documents/2. Management/Reconciliation/"/>
    </mc:Choice>
  </mc:AlternateContent>
  <xr:revisionPtr revIDLastSave="0" documentId="8_{0F97E9AD-31DF-4AFD-A47F-414D0C448A5A}" xr6:coauthVersionLast="47" xr6:coauthVersionMax="47" xr10:uidLastSave="{00000000-0000-0000-0000-000000000000}"/>
  <bookViews>
    <workbookView xWindow="7030" yWindow="4710" windowWidth="28800" windowHeight="15450" activeTab="3" xr2:uid="{BF73B4A3-184C-4AAD-BFFD-1BFFD05312CE}"/>
  </bookViews>
  <sheets>
    <sheet name="Mainframe TRANLIST" sheetId="1" r:id="rId1"/>
    <sheet name="CheshirePay Settlement" sheetId="2" r:id="rId2"/>
    <sheet name="D365 Customers" sheetId="3" r:id="rId3"/>
    <sheet name="Mismatch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</calcChain>
</file>

<file path=xl/sharedStrings.xml><?xml version="1.0" encoding="utf-8"?>
<sst xmlns="http://schemas.openxmlformats.org/spreadsheetml/2006/main" count="239" uniqueCount="152">
  <si>
    <t>Txn ID</t>
  </si>
  <si>
    <t>Time</t>
  </si>
  <si>
    <t>Account No</t>
  </si>
  <si>
    <t>Customer ID</t>
  </si>
  <si>
    <t>Type</t>
  </si>
  <si>
    <t>Amount</t>
  </si>
  <si>
    <t>Balance</t>
  </si>
  <si>
    <t>TXN00043921</t>
  </si>
  <si>
    <t>08:12:04</t>
  </si>
  <si>
    <t>1001-0025-7731</t>
  </si>
  <si>
    <t>C00017842</t>
  </si>
  <si>
    <t>DEP</t>
  </si>
  <si>
    <t>TXN00043922</t>
  </si>
  <si>
    <t>08:47:51</t>
  </si>
  <si>
    <t>1001-0041-2200</t>
  </si>
  <si>
    <t>C00019210</t>
  </si>
  <si>
    <t>WDL</t>
  </si>
  <si>
    <t>TXN00043923</t>
  </si>
  <si>
    <t>09:03:19</t>
  </si>
  <si>
    <t>1001-0088-4410</t>
  </si>
  <si>
    <t>C00022114</t>
  </si>
  <si>
    <t>TXN00043924</t>
  </si>
  <si>
    <t>09:21:02</t>
  </si>
  <si>
    <t>TXN00043925</t>
  </si>
  <si>
    <t>10:05:44</t>
  </si>
  <si>
    <t>1001-0105-9920</t>
  </si>
  <si>
    <t>C00028701</t>
  </si>
  <si>
    <t>XFR</t>
  </si>
  <si>
    <t>TXN00043926</t>
  </si>
  <si>
    <t>10:18:33</t>
  </si>
  <si>
    <t>1001-0202-1188</t>
  </si>
  <si>
    <t>C00031005</t>
  </si>
  <si>
    <t>TXN00043927</t>
  </si>
  <si>
    <t>11:02:15</t>
  </si>
  <si>
    <t>TXN00043928</t>
  </si>
  <si>
    <t>11:44:08</t>
  </si>
  <si>
    <t>1001-0311-0077</t>
  </si>
  <si>
    <t>C00034520</t>
  </si>
  <si>
    <t>TXN00043929</t>
  </si>
  <si>
    <t>13:10:29</t>
  </si>
  <si>
    <t>TXN00043930</t>
  </si>
  <si>
    <t>14:02:51</t>
  </si>
  <si>
    <t>1001-0420-5533</t>
  </si>
  <si>
    <t>C00038915</t>
  </si>
  <si>
    <t>TXN00043931</t>
  </si>
  <si>
    <t>14:35:17</t>
  </si>
  <si>
    <t>1001-0511-7788</t>
  </si>
  <si>
    <t>C00040122</t>
  </si>
  <si>
    <t>TXN00043932</t>
  </si>
  <si>
    <t>15:11:40</t>
  </si>
  <si>
    <t>TXN00043933</t>
  </si>
  <si>
    <t>15:58:22</t>
  </si>
  <si>
    <t>1001-0620-1122</t>
  </si>
  <si>
    <t>C00042330</t>
  </si>
  <si>
    <t>TXN00043934</t>
  </si>
  <si>
    <t>16:30:05</t>
  </si>
  <si>
    <t>1001-0715-3344</t>
  </si>
  <si>
    <t>C00045011</t>
  </si>
  <si>
    <t>TXN00043935</t>
  </si>
  <si>
    <t>16:52:18</t>
  </si>
  <si>
    <t>Credits</t>
  </si>
  <si>
    <t>Debits</t>
  </si>
  <si>
    <t>Net</t>
  </si>
  <si>
    <t>Count</t>
  </si>
  <si>
    <t>Merchant:</t>
  </si>
  <si>
    <t>WBNK-MERCH-0042</t>
  </si>
  <si>
    <t>Report Date:</t>
  </si>
  <si>
    <t>2026-04-22</t>
  </si>
  <si>
    <t>Generated:</t>
  </si>
  <si>
    <t>2026-04-23 03:00 UTC</t>
  </si>
  <si>
    <t>Currency:</t>
  </si>
  <si>
    <t>USD</t>
  </si>
  <si>
    <t>SUMMARY</t>
  </si>
  <si>
    <t>Gross Volume</t>
  </si>
  <si>
    <t>Refunds</t>
  </si>
  <si>
    <t>Chargebacks</t>
  </si>
  <si>
    <t>Processing Fees</t>
  </si>
  <si>
    <t>Net Settlement</t>
  </si>
  <si>
    <t>Transactions</t>
  </si>
  <si>
    <t>Status</t>
  </si>
  <si>
    <t>CP78451001</t>
  </si>
  <si>
    <t>SETTLED</t>
  </si>
  <si>
    <t>CP78451002</t>
  </si>
  <si>
    <t>CP78451003</t>
  </si>
  <si>
    <t>CP78451004</t>
  </si>
  <si>
    <t>CP78451005</t>
  </si>
  <si>
    <t>CP78451006</t>
  </si>
  <si>
    <t>CP78451007</t>
  </si>
  <si>
    <t>CP78451008</t>
  </si>
  <si>
    <t>HELD (REVIEW)</t>
  </si>
  <si>
    <t>Source:</t>
  </si>
  <si>
    <t>Dynamics 365 Web API (OData v4)</t>
  </si>
  <si>
    <t>Endpoint:</t>
  </si>
  <si>
    <t>/api/data/v9.2/wbnk_customers</t>
  </si>
  <si>
    <t>Fetched:</t>
  </si>
  <si>
    <t>2026-04-23 08:00 UTC</t>
  </si>
  <si>
    <t>Records:</t>
  </si>
  <si>
    <t>10</t>
  </si>
  <si>
    <t>Full Name</t>
  </si>
  <si>
    <t>Primary Account</t>
  </si>
  <si>
    <t>Segment</t>
  </si>
  <si>
    <t>Branch</t>
  </si>
  <si>
    <t>Relationship Mgr</t>
  </si>
  <si>
    <t>Registered Balance</t>
  </si>
  <si>
    <t>Mad Hatter Holdings LLC</t>
  </si>
  <si>
    <t>Premium</t>
  </si>
  <si>
    <t>001 HQ</t>
  </si>
  <si>
    <t>B. Bandersnatch</t>
  </si>
  <si>
    <t>White Rabbit Courier Co.</t>
  </si>
  <si>
    <t>Standard</t>
  </si>
  <si>
    <t>T. Tweedle</t>
  </si>
  <si>
    <t>Caterpillar Capital Partners</t>
  </si>
  <si>
    <t>VIP</t>
  </si>
  <si>
    <t>007 Mirror</t>
  </si>
  <si>
    <t>C. Cheshire</t>
  </si>
  <si>
    <t>Queen of Hearts Confectionery</t>
  </si>
  <si>
    <t>003 Downtown</t>
  </si>
  <si>
    <t>D. Dormouse</t>
  </si>
  <si>
    <t>March Hare Logistics</t>
  </si>
  <si>
    <t>Looking-Glass Consulting Ltd</t>
  </si>
  <si>
    <t>Jabberwock Manufacturing GmbH</t>
  </si>
  <si>
    <t>012 Tulgey</t>
  </si>
  <si>
    <t>Walrus &amp; Carpenter Trading</t>
  </si>
  <si>
    <t>Oyster Bay Seafood Inc.</t>
  </si>
  <si>
    <t>Cheshire Cat Ventures SA</t>
  </si>
  <si>
    <t>RECONCILIATION RESULT - 2026-04-22</t>
  </si>
  <si>
    <t>Generated by Reconciliation Agent at 08:04:17 UTC  |  3 mismatches found across 15 mainframe transactions / 8 portal settlements / 10 D365 customers.</t>
  </si>
  <si>
    <t>#</t>
  </si>
  <si>
    <t>Customer Name</t>
  </si>
  <si>
    <t>Mainframe</t>
  </si>
  <si>
    <t>CheshirePay</t>
  </si>
  <si>
    <t>D365</t>
  </si>
  <si>
    <t>Detail</t>
  </si>
  <si>
    <t>Missing in Portal</t>
  </si>
  <si>
    <t>Net +1,450.00 (3 txns)</t>
  </si>
  <si>
    <t>(no settlement record)</t>
  </si>
  <si>
    <t>15,458.45</t>
  </si>
  <si>
    <t>Mainframe posted 3 transactions for this customer; CheshirePay produced no settlement entries. Likely failed to route through processor - operations to confirm.</t>
  </si>
  <si>
    <t>Held for Review</t>
  </si>
  <si>
    <t>-7,800.00 XFR settled</t>
  </si>
  <si>
    <t>7,800.00 HELD (REVIEW)</t>
  </si>
  <si>
    <t>102,200.00</t>
  </si>
  <si>
    <t>Mainframe shows the transfer as completed; CheshirePay placed it on review hold. Risk team needs to release or reverse before EOD.</t>
  </si>
  <si>
    <t>Balance Drift</t>
  </si>
  <si>
    <t>8,770.10 (after 2 txns)</t>
  </si>
  <si>
    <t>2,800.00 net settled</t>
  </si>
  <si>
    <t>9,270.10 (stale)</t>
  </si>
  <si>
    <t>D365 registered_balance is 500.00 above the mainframe latest balance - TXN00043932 deposit posted to core but D365 not yet refreshed.</t>
  </si>
  <si>
    <t>Recommended next steps</t>
  </si>
  <si>
    <t>1.  Email payment-ops@wonderlandbank.co re: White Rabbit Courier (#1) - request gateway trace for the 3 missing settlements.</t>
  </si>
  <si>
    <t>2.  Notify risk-team@wonderlandbank.co re: Cheshire Cat Ventures (#2) - release-or-reverse decision before 15:00 UTC wire cut-off.</t>
  </si>
  <si>
    <t>3.  Trigger D365 sync job for account 1001-0105-9920 (#3) - or wait for the 09:00 UTC nightly catch-up.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</si>
</sst>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6A2D"/>
        <bgColor indexed="64"/>
      </patternFill>
    </fill>
    <fill>
      <patternFill patternType="solid">
        <fgColor rgb="FF6B2B8C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FFFE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49" fontId="1" fillId="0" borderId="0" xfId="0" applyNumberFormat="1" applyFont="1"/>
    <xf numFmtId="3" fontId="0" fillId="0" borderId="0" xfId="0" applyNumberForma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4" fillId="5" borderId="1" xfId="0" applyFont="1" applyFill="1" applyBorder="1" applyAlignment="1">
      <alignment horizontal="center" vertical="top" wrapText="1"/>
    </xf>
    <xf numFmtId="49" fontId="3" fillId="5" borderId="1" xfId="0" applyNumberFormat="1" applyFont="1" applyFill="1" applyBorder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D35E-DDB4-4868-A716-01E36D302560}">
  <dimension ref="A1:G2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11.6328125" customWidth="1"/>
    <col min="3" max="3" width="18.6328125" customWidth="1"/>
    <col min="4" max="4" width="13.6328125" customWidth="1"/>
    <col min="5" max="5" width="10.6328125" customWidth="1"/>
    <col min="6" max="6" width="14.6328125" customWidth="1"/>
    <col min="7" max="7" width="16.6328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5200</v>
      </c>
      <c r="G2" s="6">
        <v>48310.22</v>
      </c>
    </row>
    <row r="3" spans="1:7" x14ac:dyDescent="0.3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>
        <v>-1100</v>
      </c>
      <c r="G3" s="6">
        <v>12908.45</v>
      </c>
    </row>
    <row r="4" spans="1:7" x14ac:dyDescent="0.35">
      <c r="A4" s="5" t="s">
        <v>17</v>
      </c>
      <c r="B4" s="5" t="s">
        <v>18</v>
      </c>
      <c r="C4" s="5" t="s">
        <v>19</v>
      </c>
      <c r="D4" s="5" t="s">
        <v>20</v>
      </c>
      <c r="E4" s="5" t="s">
        <v>11</v>
      </c>
      <c r="F4" s="6">
        <v>15000</v>
      </c>
      <c r="G4" s="6">
        <v>221455</v>
      </c>
    </row>
    <row r="5" spans="1:7" x14ac:dyDescent="0.35">
      <c r="A5" s="5" t="s">
        <v>21</v>
      </c>
      <c r="B5" s="5" t="s">
        <v>22</v>
      </c>
      <c r="C5" s="5" t="s">
        <v>14</v>
      </c>
      <c r="D5" s="5" t="s">
        <v>15</v>
      </c>
      <c r="E5" s="5" t="s">
        <v>16</v>
      </c>
      <c r="F5" s="6">
        <v>-450</v>
      </c>
      <c r="G5" s="6">
        <v>12458.45</v>
      </c>
    </row>
    <row r="6" spans="1:7" x14ac:dyDescent="0.3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6">
        <v>-2300</v>
      </c>
      <c r="G6" s="6">
        <v>8770.1</v>
      </c>
    </row>
    <row r="7" spans="1:7" x14ac:dyDescent="0.35">
      <c r="A7" s="5" t="s">
        <v>28</v>
      </c>
      <c r="B7" s="5" t="s">
        <v>29</v>
      </c>
      <c r="C7" s="5" t="s">
        <v>30</v>
      </c>
      <c r="D7" s="5" t="s">
        <v>31</v>
      </c>
      <c r="E7" s="5" t="s">
        <v>11</v>
      </c>
      <c r="F7" s="6">
        <v>980</v>
      </c>
      <c r="G7" s="6">
        <v>6420</v>
      </c>
    </row>
    <row r="8" spans="1:7" x14ac:dyDescent="0.35">
      <c r="A8" s="5" t="s">
        <v>32</v>
      </c>
      <c r="B8" s="5" t="s">
        <v>33</v>
      </c>
      <c r="C8" s="5" t="s">
        <v>14</v>
      </c>
      <c r="D8" s="5" t="s">
        <v>15</v>
      </c>
      <c r="E8" s="5" t="s">
        <v>11</v>
      </c>
      <c r="F8" s="6">
        <v>3000</v>
      </c>
      <c r="G8" s="6">
        <v>15458.45</v>
      </c>
    </row>
    <row r="9" spans="1:7" x14ac:dyDescent="0.35">
      <c r="A9" s="5" t="s">
        <v>34</v>
      </c>
      <c r="B9" s="5" t="s">
        <v>35</v>
      </c>
      <c r="C9" s="5" t="s">
        <v>36</v>
      </c>
      <c r="D9" s="5" t="s">
        <v>37</v>
      </c>
      <c r="E9" s="5" t="s">
        <v>16</v>
      </c>
      <c r="F9" s="6">
        <v>-600</v>
      </c>
      <c r="G9" s="6">
        <v>21300</v>
      </c>
    </row>
    <row r="10" spans="1:7" x14ac:dyDescent="0.35">
      <c r="A10" s="5" t="s">
        <v>38</v>
      </c>
      <c r="B10" s="5" t="s">
        <v>39</v>
      </c>
      <c r="C10" s="5" t="s">
        <v>19</v>
      </c>
      <c r="D10" s="5" t="s">
        <v>20</v>
      </c>
      <c r="E10" s="5" t="s">
        <v>16</v>
      </c>
      <c r="F10" s="6">
        <v>-5000</v>
      </c>
      <c r="G10" s="6">
        <v>216455</v>
      </c>
    </row>
    <row r="11" spans="1:7" x14ac:dyDescent="0.35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11</v>
      </c>
      <c r="F11" s="6">
        <v>1250</v>
      </c>
      <c r="G11" s="6">
        <v>42010.77</v>
      </c>
    </row>
    <row r="12" spans="1:7" x14ac:dyDescent="0.35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11</v>
      </c>
      <c r="F12" s="6">
        <v>12000</v>
      </c>
      <c r="G12" s="6">
        <v>88044</v>
      </c>
    </row>
    <row r="13" spans="1:7" x14ac:dyDescent="0.35">
      <c r="A13" s="5" t="s">
        <v>48</v>
      </c>
      <c r="B13" s="5" t="s">
        <v>49</v>
      </c>
      <c r="C13" s="5" t="s">
        <v>25</v>
      </c>
      <c r="D13" s="5" t="s">
        <v>26</v>
      </c>
      <c r="E13" s="5" t="s">
        <v>11</v>
      </c>
      <c r="F13" s="6">
        <v>500</v>
      </c>
      <c r="G13" s="6">
        <v>9270.1</v>
      </c>
    </row>
    <row r="14" spans="1:7" x14ac:dyDescent="0.35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16</v>
      </c>
      <c r="F14" s="6">
        <v>-300</v>
      </c>
      <c r="G14" s="6">
        <v>4700</v>
      </c>
    </row>
    <row r="15" spans="1:7" x14ac:dyDescent="0.35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27</v>
      </c>
      <c r="F15" s="6">
        <v>-7800</v>
      </c>
      <c r="G15" s="6">
        <v>102200</v>
      </c>
    </row>
    <row r="16" spans="1:7" x14ac:dyDescent="0.35">
      <c r="A16" s="5" t="s">
        <v>58</v>
      </c>
      <c r="B16" s="5" t="s">
        <v>59</v>
      </c>
      <c r="C16" s="5" t="s">
        <v>36</v>
      </c>
      <c r="D16" s="5" t="s">
        <v>37</v>
      </c>
      <c r="E16" s="5" t="s">
        <v>11</v>
      </c>
      <c r="F16" s="6">
        <v>200</v>
      </c>
      <c r="G16" s="6">
        <v>21500</v>
      </c>
    </row>
    <row r="18" spans="5:6" x14ac:dyDescent="0.35">
      <c r="E18" s="9" t="s">
        <v>60</v>
      </c>
      <c r="F18" s="8">
        <f>SUMIF(F2:F16,"&gt;0")</f>
        <v>38130</v>
      </c>
    </row>
    <row r="19" spans="5:6" x14ac:dyDescent="0.35">
      <c r="E19" s="9" t="s">
        <v>61</v>
      </c>
      <c r="F19" s="8">
        <f>SUMIF(F2:F16,"&lt;0")</f>
        <v>-17550</v>
      </c>
    </row>
    <row r="20" spans="5:6" x14ac:dyDescent="0.35">
      <c r="E20" s="9" t="s">
        <v>62</v>
      </c>
      <c r="F20" s="8">
        <f>SUM(F2:F16)</f>
        <v>20580</v>
      </c>
    </row>
    <row r="21" spans="5:6" x14ac:dyDescent="0.35">
      <c r="E21" s="9" t="s">
        <v>63</v>
      </c>
      <c r="F21" s="7">
        <f>COUNTA(A2:A16)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5592-B4EA-466C-9283-BEC2A31BA0D4}">
  <dimension ref="A1:D22"/>
  <sheetViews>
    <sheetView workbookViewId="0"/>
  </sheetViews>
  <sheetFormatPr defaultRowHeight="14.5" x14ac:dyDescent="0.35"/>
  <cols>
    <col min="1" max="1" width="20.6328125" customWidth="1"/>
    <col min="2" max="3" width="15.6328125" customWidth="1"/>
    <col min="4" max="4" width="18.6328125" customWidth="1"/>
  </cols>
  <sheetData>
    <row r="1" spans="1:4" x14ac:dyDescent="0.35">
      <c r="A1" s="10" t="s">
        <v>64</v>
      </c>
      <c r="B1" s="1" t="s">
        <v>65</v>
      </c>
    </row>
    <row r="2" spans="1:4" x14ac:dyDescent="0.35">
      <c r="A2" s="10" t="s">
        <v>66</v>
      </c>
      <c r="B2" s="1" t="s">
        <v>67</v>
      </c>
    </row>
    <row r="3" spans="1:4" x14ac:dyDescent="0.35">
      <c r="A3" s="10" t="s">
        <v>68</v>
      </c>
      <c r="B3" s="1" t="s">
        <v>69</v>
      </c>
    </row>
    <row r="4" spans="1:4" x14ac:dyDescent="0.35">
      <c r="A4" s="10" t="s">
        <v>70</v>
      </c>
      <c r="B4" s="1" t="s">
        <v>71</v>
      </c>
    </row>
    <row r="6" spans="1:4" x14ac:dyDescent="0.35">
      <c r="A6" s="2" t="s">
        <v>72</v>
      </c>
    </row>
    <row r="7" spans="1:4" x14ac:dyDescent="0.35">
      <c r="A7" t="s">
        <v>73</v>
      </c>
      <c r="B7" s="3">
        <v>387420.18</v>
      </c>
    </row>
    <row r="8" spans="1:4" x14ac:dyDescent="0.35">
      <c r="A8" t="s">
        <v>74</v>
      </c>
      <c r="B8" s="3">
        <v>-4215.63</v>
      </c>
    </row>
    <row r="9" spans="1:4" x14ac:dyDescent="0.35">
      <c r="A9" t="s">
        <v>75</v>
      </c>
      <c r="B9" s="3">
        <v>-2100</v>
      </c>
    </row>
    <row r="10" spans="1:4" x14ac:dyDescent="0.35">
      <c r="A10" t="s">
        <v>76</v>
      </c>
      <c r="B10" s="3">
        <v>0</v>
      </c>
    </row>
    <row r="11" spans="1:4" x14ac:dyDescent="0.35">
      <c r="A11" t="s">
        <v>77</v>
      </c>
      <c r="B11" s="3">
        <v>381104.55</v>
      </c>
    </row>
    <row r="12" spans="1:4" x14ac:dyDescent="0.35">
      <c r="A12" t="s">
        <v>78</v>
      </c>
      <c r="B12" s="11">
        <v>1284</v>
      </c>
    </row>
    <row r="14" spans="1:4" x14ac:dyDescent="0.35">
      <c r="A14" s="12" t="s">
        <v>0</v>
      </c>
      <c r="B14" s="12" t="s">
        <v>3</v>
      </c>
      <c r="C14" s="12" t="s">
        <v>5</v>
      </c>
      <c r="D14" s="12" t="s">
        <v>79</v>
      </c>
    </row>
    <row r="15" spans="1:4" x14ac:dyDescent="0.35">
      <c r="A15" s="5" t="s">
        <v>80</v>
      </c>
      <c r="B15" s="5" t="s">
        <v>10</v>
      </c>
      <c r="C15" s="13">
        <v>5200</v>
      </c>
      <c r="D15" s="14" t="s">
        <v>81</v>
      </c>
    </row>
    <row r="16" spans="1:4" x14ac:dyDescent="0.35">
      <c r="A16" s="5" t="s">
        <v>82</v>
      </c>
      <c r="B16" s="5" t="s">
        <v>20</v>
      </c>
      <c r="C16" s="13">
        <v>15000</v>
      </c>
      <c r="D16" s="14" t="s">
        <v>81</v>
      </c>
    </row>
    <row r="17" spans="1:4" x14ac:dyDescent="0.35">
      <c r="A17" s="5" t="s">
        <v>83</v>
      </c>
      <c r="B17" s="5" t="s">
        <v>26</v>
      </c>
      <c r="C17" s="13">
        <v>2800</v>
      </c>
      <c r="D17" s="14" t="s">
        <v>81</v>
      </c>
    </row>
    <row r="18" spans="1:4" x14ac:dyDescent="0.35">
      <c r="A18" s="5" t="s">
        <v>84</v>
      </c>
      <c r="B18" s="5" t="s">
        <v>31</v>
      </c>
      <c r="C18" s="13">
        <v>980</v>
      </c>
      <c r="D18" s="14" t="s">
        <v>81</v>
      </c>
    </row>
    <row r="19" spans="1:4" x14ac:dyDescent="0.35">
      <c r="A19" s="5" t="s">
        <v>85</v>
      </c>
      <c r="B19" s="5" t="s">
        <v>37</v>
      </c>
      <c r="C19" s="13">
        <v>200</v>
      </c>
      <c r="D19" s="14" t="s">
        <v>81</v>
      </c>
    </row>
    <row r="20" spans="1:4" x14ac:dyDescent="0.35">
      <c r="A20" s="5" t="s">
        <v>86</v>
      </c>
      <c r="B20" s="5" t="s">
        <v>43</v>
      </c>
      <c r="C20" s="13">
        <v>1250</v>
      </c>
      <c r="D20" s="14" t="s">
        <v>81</v>
      </c>
    </row>
    <row r="21" spans="1:4" x14ac:dyDescent="0.35">
      <c r="A21" s="5" t="s">
        <v>87</v>
      </c>
      <c r="B21" s="5" t="s">
        <v>47</v>
      </c>
      <c r="C21" s="13">
        <v>12000</v>
      </c>
      <c r="D21" s="14" t="s">
        <v>81</v>
      </c>
    </row>
    <row r="22" spans="1:4" x14ac:dyDescent="0.35">
      <c r="A22" s="5" t="s">
        <v>88</v>
      </c>
      <c r="B22" s="5" t="s">
        <v>57</v>
      </c>
      <c r="C22" s="13">
        <v>7800</v>
      </c>
      <c r="D22" s="1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F733-45AD-495B-AAC1-DDD828F73DEC}">
  <dimension ref="A1:G16"/>
  <sheetViews>
    <sheetView workbookViewId="0"/>
  </sheetViews>
  <sheetFormatPr defaultRowHeight="14.5" x14ac:dyDescent="0.35"/>
  <cols>
    <col min="1" max="1" width="14.6328125" customWidth="1"/>
    <col min="2" max="2" width="32.6328125" customWidth="1"/>
    <col min="3" max="3" width="18.6328125" customWidth="1"/>
    <col min="4" max="4" width="11.6328125" customWidth="1"/>
    <col min="5" max="5" width="16.6328125" customWidth="1"/>
    <col min="6" max="6" width="18.6328125" customWidth="1"/>
    <col min="7" max="7" width="20.6328125" customWidth="1"/>
  </cols>
  <sheetData>
    <row r="1" spans="1:7" x14ac:dyDescent="0.35">
      <c r="A1" s="10" t="s">
        <v>90</v>
      </c>
      <c r="B1" s="1" t="s">
        <v>91</v>
      </c>
    </row>
    <row r="2" spans="1:7" x14ac:dyDescent="0.35">
      <c r="A2" s="10" t="s">
        <v>92</v>
      </c>
      <c r="B2" s="1" t="s">
        <v>93</v>
      </c>
    </row>
    <row r="3" spans="1:7" x14ac:dyDescent="0.35">
      <c r="A3" s="10" t="s">
        <v>94</v>
      </c>
      <c r="B3" s="1" t="s">
        <v>95</v>
      </c>
    </row>
    <row r="4" spans="1:7" x14ac:dyDescent="0.35">
      <c r="A4" s="10" t="s">
        <v>96</v>
      </c>
      <c r="B4" s="1" t="s">
        <v>97</v>
      </c>
    </row>
    <row r="6" spans="1:7" x14ac:dyDescent="0.35">
      <c r="A6" s="15" t="s">
        <v>3</v>
      </c>
      <c r="B6" s="15" t="s">
        <v>98</v>
      </c>
      <c r="C6" s="15" t="s">
        <v>99</v>
      </c>
      <c r="D6" s="15" t="s">
        <v>100</v>
      </c>
      <c r="E6" s="15" t="s">
        <v>101</v>
      </c>
      <c r="F6" s="15" t="s">
        <v>102</v>
      </c>
      <c r="G6" s="15" t="s">
        <v>103</v>
      </c>
    </row>
    <row r="7" spans="1:7" x14ac:dyDescent="0.35">
      <c r="A7" s="5" t="s">
        <v>10</v>
      </c>
      <c r="B7" s="5" t="s">
        <v>104</v>
      </c>
      <c r="C7" s="5" t="s">
        <v>9</v>
      </c>
      <c r="D7" s="5" t="s">
        <v>105</v>
      </c>
      <c r="E7" s="5" t="s">
        <v>106</v>
      </c>
      <c r="F7" s="5" t="s">
        <v>107</v>
      </c>
      <c r="G7" s="13">
        <v>48310.22</v>
      </c>
    </row>
    <row r="8" spans="1:7" x14ac:dyDescent="0.35">
      <c r="A8" s="5" t="s">
        <v>15</v>
      </c>
      <c r="B8" s="5" t="s">
        <v>108</v>
      </c>
      <c r="C8" s="5" t="s">
        <v>14</v>
      </c>
      <c r="D8" s="5" t="s">
        <v>109</v>
      </c>
      <c r="E8" s="5" t="s">
        <v>106</v>
      </c>
      <c r="F8" s="5" t="s">
        <v>110</v>
      </c>
      <c r="G8" s="13">
        <v>15458.45</v>
      </c>
    </row>
    <row r="9" spans="1:7" x14ac:dyDescent="0.35">
      <c r="A9" s="5" t="s">
        <v>20</v>
      </c>
      <c r="B9" s="5" t="s">
        <v>111</v>
      </c>
      <c r="C9" s="5" t="s">
        <v>19</v>
      </c>
      <c r="D9" s="5" t="s">
        <v>112</v>
      </c>
      <c r="E9" s="5" t="s">
        <v>113</v>
      </c>
      <c r="F9" s="5" t="s">
        <v>114</v>
      </c>
      <c r="G9" s="13">
        <v>216455</v>
      </c>
    </row>
    <row r="10" spans="1:7" x14ac:dyDescent="0.35">
      <c r="A10" s="5" t="s">
        <v>26</v>
      </c>
      <c r="B10" s="5" t="s">
        <v>115</v>
      </c>
      <c r="C10" s="5" t="s">
        <v>25</v>
      </c>
      <c r="D10" s="5" t="s">
        <v>105</v>
      </c>
      <c r="E10" s="5" t="s">
        <v>116</v>
      </c>
      <c r="F10" s="5" t="s">
        <v>117</v>
      </c>
      <c r="G10" s="13">
        <v>8770.1</v>
      </c>
    </row>
    <row r="11" spans="1:7" x14ac:dyDescent="0.35">
      <c r="A11" s="5" t="s">
        <v>31</v>
      </c>
      <c r="B11" s="5" t="s">
        <v>118</v>
      </c>
      <c r="C11" s="5" t="s">
        <v>30</v>
      </c>
      <c r="D11" s="5" t="s">
        <v>109</v>
      </c>
      <c r="E11" s="5" t="s">
        <v>116</v>
      </c>
      <c r="F11" s="5" t="s">
        <v>110</v>
      </c>
      <c r="G11" s="13">
        <v>6420</v>
      </c>
    </row>
    <row r="12" spans="1:7" x14ac:dyDescent="0.35">
      <c r="A12" s="5" t="s">
        <v>37</v>
      </c>
      <c r="B12" s="5" t="s">
        <v>119</v>
      </c>
      <c r="C12" s="5" t="s">
        <v>36</v>
      </c>
      <c r="D12" s="5" t="s">
        <v>105</v>
      </c>
      <c r="E12" s="5" t="s">
        <v>113</v>
      </c>
      <c r="F12" s="5" t="s">
        <v>114</v>
      </c>
      <c r="G12" s="13">
        <v>21500</v>
      </c>
    </row>
    <row r="13" spans="1:7" x14ac:dyDescent="0.35">
      <c r="A13" s="5" t="s">
        <v>43</v>
      </c>
      <c r="B13" s="5" t="s">
        <v>120</v>
      </c>
      <c r="C13" s="5" t="s">
        <v>42</v>
      </c>
      <c r="D13" s="5" t="s">
        <v>109</v>
      </c>
      <c r="E13" s="5" t="s">
        <v>121</v>
      </c>
      <c r="F13" s="5" t="s">
        <v>107</v>
      </c>
      <c r="G13" s="13">
        <v>42010.77</v>
      </c>
    </row>
    <row r="14" spans="1:7" x14ac:dyDescent="0.35">
      <c r="A14" s="5" t="s">
        <v>47</v>
      </c>
      <c r="B14" s="5" t="s">
        <v>122</v>
      </c>
      <c r="C14" s="5" t="s">
        <v>46</v>
      </c>
      <c r="D14" s="5" t="s">
        <v>112</v>
      </c>
      <c r="E14" s="5" t="s">
        <v>106</v>
      </c>
      <c r="F14" s="5" t="s">
        <v>117</v>
      </c>
      <c r="G14" s="13">
        <v>88044</v>
      </c>
    </row>
    <row r="15" spans="1:7" x14ac:dyDescent="0.35">
      <c r="A15" s="5" t="s">
        <v>53</v>
      </c>
      <c r="B15" s="5" t="s">
        <v>123</v>
      </c>
      <c r="C15" s="5" t="s">
        <v>52</v>
      </c>
      <c r="D15" s="5" t="s">
        <v>109</v>
      </c>
      <c r="E15" s="5" t="s">
        <v>121</v>
      </c>
      <c r="F15" s="5" t="s">
        <v>110</v>
      </c>
      <c r="G15" s="13">
        <v>4700</v>
      </c>
    </row>
    <row r="16" spans="1:7" x14ac:dyDescent="0.35">
      <c r="A16" s="5" t="s">
        <v>57</v>
      </c>
      <c r="B16" s="5" t="s">
        <v>124</v>
      </c>
      <c r="C16" s="5" t="s">
        <v>56</v>
      </c>
      <c r="D16" s="5" t="s">
        <v>112</v>
      </c>
      <c r="E16" s="5" t="s">
        <v>113</v>
      </c>
      <c r="F16" s="5" t="s">
        <v>114</v>
      </c>
      <c r="G16" s="13">
        <v>102200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A782-A32E-40F6-9077-58483554D490}">
  <dimension ref="A1:H12"/>
  <sheetViews>
    <sheetView tabSelected="1" workbookViewId="0"/>
  </sheetViews>
  <sheetFormatPr defaultRowHeight="14.5" x14ac:dyDescent="0.35"/>
  <cols>
    <col min="1" max="1" width="4.6328125" customWidth="1"/>
    <col min="2" max="2" width="13.6328125" customWidth="1"/>
    <col min="3" max="3" width="30.6328125" customWidth="1"/>
    <col min="4" max="4" width="20.6328125" customWidth="1"/>
    <col min="5" max="5" width="22.6328125" customWidth="1"/>
    <col min="6" max="6" width="24.6328125" customWidth="1"/>
    <col min="7" max="7" width="16.6328125" customWidth="1"/>
    <col min="8" max="8" width="52.6328125" customWidth="1"/>
  </cols>
  <sheetData>
    <row r="1" spans="1:8" ht="18" x14ac:dyDescent="0.4">
      <c r="A1" s="16" t="s">
        <v>125</v>
      </c>
      <c r="B1" s="16"/>
      <c r="C1" s="16"/>
      <c r="D1" s="16"/>
      <c r="E1" s="16"/>
      <c r="F1" s="16"/>
      <c r="G1" s="16"/>
    </row>
    <row r="2" spans="1:8" x14ac:dyDescent="0.35">
      <c r="A2" s="17" t="s">
        <v>126</v>
      </c>
      <c r="B2" s="17"/>
      <c r="C2" s="17"/>
      <c r="D2" s="17"/>
      <c r="E2" s="17"/>
      <c r="F2" s="17"/>
      <c r="G2" s="17"/>
    </row>
    <row r="4" spans="1:8" x14ac:dyDescent="0.35">
      <c r="A4" s="12" t="s">
        <v>127</v>
      </c>
      <c r="B4" s="12" t="s">
        <v>3</v>
      </c>
      <c r="C4" s="12" t="s">
        <v>128</v>
      </c>
      <c r="D4" s="12" t="s">
        <v>4</v>
      </c>
      <c r="E4" s="12" t="s">
        <v>129</v>
      </c>
      <c r="F4" s="12" t="s">
        <v>130</v>
      </c>
      <c r="G4" s="12" t="s">
        <v>131</v>
      </c>
      <c r="H4" s="12" t="s">
        <v>132</v>
      </c>
    </row>
    <row r="5" spans="1:8" ht="336" x14ac:dyDescent="0.35">
      <c r="A5" s="18">
        <v>1</v>
      </c>
      <c r="B5" s="19" t="s">
        <v>15</v>
      </c>
      <c r="C5" s="19" t="s">
        <v>108</v>
      </c>
      <c r="D5" s="19" t="s">
        <v>133</v>
      </c>
      <c r="E5" s="19" t="s">
        <v>134</v>
      </c>
      <c r="F5" s="19" t="s">
        <v>135</v>
      </c>
      <c r="G5" s="19" t="s">
        <v>136</v>
      </c>
      <c r="H5" s="19" t="s">
        <v>137</v>
      </c>
    </row>
    <row r="6" spans="1:8" ht="308" x14ac:dyDescent="0.35">
      <c r="A6" s="18">
        <v>2</v>
      </c>
      <c r="B6" s="19" t="s">
        <v>57</v>
      </c>
      <c r="C6" s="19" t="s">
        <v>124</v>
      </c>
      <c r="D6" s="19" t="s">
        <v>138</v>
      </c>
      <c r="E6" s="19" t="s">
        <v>139</v>
      </c>
      <c r="F6" s="19" t="s">
        <v>140</v>
      </c>
      <c r="G6" s="19" t="s">
        <v>141</v>
      </c>
      <c r="H6" s="19" t="s">
        <v>142</v>
      </c>
    </row>
    <row r="7" spans="1:8" ht="266" x14ac:dyDescent="0.35">
      <c r="A7" s="18">
        <v>3</v>
      </c>
      <c r="B7" s="19" t="s">
        <v>26</v>
      </c>
      <c r="C7" s="19" t="s">
        <v>115</v>
      </c>
      <c r="D7" s="19" t="s">
        <v>143</v>
      </c>
      <c r="E7" s="19" t="s">
        <v>144</v>
      </c>
      <c r="F7" s="19" t="s">
        <v>145</v>
      </c>
      <c r="G7" s="19" t="s">
        <v>146</v>
      </c>
      <c r="H7" s="19" t="s">
        <v>147</v>
      </c>
    </row>
    <row r="9" spans="1:8" x14ac:dyDescent="0.35">
      <c r="A9" s="7" t="s">
        <v>148</v>
      </c>
    </row>
    <row r="10" spans="1:8" x14ac:dyDescent="0.35">
      <c r="A10" s="21" t="s">
        <v>149</v>
      </c>
      <c r="B10" s="20"/>
      <c r="C10" s="20"/>
      <c r="D10" s="20"/>
      <c r="E10" s="20"/>
      <c r="F10" s="20"/>
      <c r="G10" s="20"/>
      <c r="H10" s="20"/>
    </row>
    <row r="11" spans="1:8" x14ac:dyDescent="0.35">
      <c r="A11" s="21" t="s">
        <v>150</v>
      </c>
      <c r="B11" s="20"/>
      <c r="C11" s="20"/>
      <c r="D11" s="20"/>
      <c r="E11" s="20"/>
      <c r="F11" s="20"/>
      <c r="G11" s="20"/>
      <c r="H11" s="20"/>
    </row>
    <row r="12" spans="1:8" x14ac:dyDescent="0.35">
      <c r="A12" s="21" t="s">
        <v>151</v>
      </c>
      <c r="B12" s="20"/>
      <c r="C12" s="20"/>
      <c r="D12" s="20"/>
      <c r="E12" s="20"/>
      <c r="F12" s="20"/>
      <c r="G12" s="20"/>
      <c r="H12" s="20"/>
    </row>
  </sheetData>
  <mergeCells count="5">
    <mergeCell ref="A1:G1"/>
    <mergeCell ref="A2:G2"/>
    <mergeCell ref="A10:H10"/>
    <mergeCell ref="A11:H11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Mainframe TRANLIST</vt:lpstr>
      <vt:lpstr>CheshirePay Settlement</vt:lpstr>
      <vt:lpstr>D365 Customers</vt:lpstr>
      <vt:lpstr>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2026-04-23T18:40:20Z</dcterms:created>
  <dcterms:modified xsi:type="dcterms:W3CDTF">2026-04-23T18:40:26Z</dcterms:modified>
</cp:coreProperties>
</file>