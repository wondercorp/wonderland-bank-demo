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759472FA-6674-4DB9-9BC5-62CC33475428}" xr6:coauthVersionLast="47" xr6:coauthVersionMax="47" xr10:uidLastSave="{00000000-0000-0000-0000-000000000000}"/>
  <bookViews>
    <workbookView xWindow="1520" yWindow="1520" windowWidth="18720" windowHeight="11730" xr2:uid="{9286BD28-8FB8-47CA-9979-5AEDA67B8DA5}"/>
  </bookViews>
  <sheets>
    <sheet name="Mainframe TRANLIST" sheetId="1" r:id="rId1"/>
    <sheet name="CheshirePay Settl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<sst xmlns="http://schemas.openxmlformats.org/spreadsheetml/2006/main" count="126" uniqueCount="89">
  <si>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</si>
  <si>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</si>
  <si>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</si>
  <si>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</si>
  <si>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</si>
  <si>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</si>
  <si>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</si>
  <si>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</si>
  <si>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</si>
  <si>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</si>
  <si>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</si>
  <si>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</si>
  <si>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</si>
  <si>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</si>
  <si>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</si>
  <si>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</si>
  <si>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</si>
  <si>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</si>
  <si>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</si>
  <si>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</si>
  <si>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</si>
  <si>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</si>
  <si>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</si>
  <si>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</si>
  <si>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</si>
  <si>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</si>
  <si>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</si>
  <si>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</si>
  <si>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</si>
  <si>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</si>
  <si>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</si>
  <si>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</si>
  <si>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</si>
  <si>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</si>
  <si>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</si>
  <si>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</si>
  <si>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</si>
  <si>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</si>
  <si>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</si>
  <si>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</si>
  <si>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</si>
  <si>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</si>
  <si>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</si>
  <si>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</si>
  <si>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</si>
  <si>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</si>
  <si>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</si>
  <si>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</si>
  <si>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</si>
  <si>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</si>
  <si>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</si>
  <si>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</si>
  <si>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</si>
  <si>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</si>
  <si>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</si>
  <si>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</si>
  <si>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</si>
  <si>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</si>
  <si>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</si>
  <si>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</si>
  <si>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</si>
  <si>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</si>
  <si>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</si>
  <si>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</si>
  <si>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</si>
  <si>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</si>
  <si>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</si>
  <si>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2026-05-04</t>
  </si>
  <si>
    <t>Generated:</t>
  </si>
  <si>
    <t>2026-05-05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</si>
  <si>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</si>
  <si>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</si>
  <si>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</si>
  <si>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</si>
  <si>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</si>
  <si>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</si>
  <si>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</si>
  <si>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</si>
  <si>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</si>
  <si>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</si>
  <si>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</si>
  <si>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</si>
  <si>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</si>
  <si>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</si>
  <si>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</si>
  <si>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</si>
  <si>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</si>
  <si>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</si>
  <si>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HELD (REVIEW)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</si>
</sst>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164" fontId="0" fillId="0" borderId="0" xfId="0" applyNumberForma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918E-6F49-45F0-9F90-E75BFCC01FEB}">
  <dimension ref="A1:G2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5200</v>
      </c>
      <c r="G2" s="5">
        <v>48310.22</v>
      </c>
    </row>
    <row r="3" spans="1:7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>
        <v>-1100</v>
      </c>
      <c r="G3" s="5">
        <v>12908.45</v>
      </c>
    </row>
    <row r="4" spans="1:7" x14ac:dyDescent="0.35">
      <c r="A4" s="4" t="s">
        <v>17</v>
      </c>
      <c r="B4" s="4" t="s">
        <v>18</v>
      </c>
      <c r="C4" s="4" t="s">
        <v>19</v>
      </c>
      <c r="D4" s="4" t="s">
        <v>20</v>
      </c>
      <c r="E4" s="4" t="s">
        <v>11</v>
      </c>
      <c r="F4" s="5">
        <v>15000</v>
      </c>
      <c r="G4" s="5">
        <v>221455</v>
      </c>
    </row>
    <row r="5" spans="1:7" x14ac:dyDescent="0.35">
      <c r="A5" s="4" t="s">
        <v>21</v>
      </c>
      <c r="B5" s="4" t="s">
        <v>22</v>
      </c>
      <c r="C5" s="4" t="s">
        <v>14</v>
      </c>
      <c r="D5" s="4" t="s">
        <v>15</v>
      </c>
      <c r="E5" s="4" t="s">
        <v>16</v>
      </c>
      <c r="F5" s="5">
        <v>-450</v>
      </c>
      <c r="G5" s="5">
        <v>12458.45</v>
      </c>
    </row>
    <row r="6" spans="1:7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>
        <v>-2300</v>
      </c>
      <c r="G6" s="5">
        <v>8770.1</v>
      </c>
    </row>
    <row r="7" spans="1:7" x14ac:dyDescent="0.35">
      <c r="A7" s="4" t="s">
        <v>28</v>
      </c>
      <c r="B7" s="4" t="s">
        <v>29</v>
      </c>
      <c r="C7" s="4" t="s">
        <v>30</v>
      </c>
      <c r="D7" s="4" t="s">
        <v>31</v>
      </c>
      <c r="E7" s="4" t="s">
        <v>11</v>
      </c>
      <c r="F7" s="5">
        <v>980</v>
      </c>
      <c r="G7" s="5">
        <v>6420</v>
      </c>
    </row>
    <row r="8" spans="1:7" x14ac:dyDescent="0.35">
      <c r="A8" s="4" t="s">
        <v>32</v>
      </c>
      <c r="B8" s="4" t="s">
        <v>33</v>
      </c>
      <c r="C8" s="4" t="s">
        <v>14</v>
      </c>
      <c r="D8" s="4" t="s">
        <v>15</v>
      </c>
      <c r="E8" s="4" t="s">
        <v>11</v>
      </c>
      <c r="F8" s="5">
        <v>3000</v>
      </c>
      <c r="G8" s="5">
        <v>15458.45</v>
      </c>
    </row>
    <row r="9" spans="1:7" x14ac:dyDescent="0.35">
      <c r="A9" s="4" t="s">
        <v>34</v>
      </c>
      <c r="B9" s="4" t="s">
        <v>35</v>
      </c>
      <c r="C9" s="4" t="s">
        <v>36</v>
      </c>
      <c r="D9" s="4" t="s">
        <v>37</v>
      </c>
      <c r="E9" s="4" t="s">
        <v>16</v>
      </c>
      <c r="F9" s="5">
        <v>-600</v>
      </c>
      <c r="G9" s="5">
        <v>21300</v>
      </c>
    </row>
    <row r="10" spans="1:7" x14ac:dyDescent="0.35">
      <c r="A10" s="4" t="s">
        <v>38</v>
      </c>
      <c r="B10" s="4" t="s">
        <v>39</v>
      </c>
      <c r="C10" s="4" t="s">
        <v>19</v>
      </c>
      <c r="D10" s="4" t="s">
        <v>20</v>
      </c>
      <c r="E10" s="4" t="s">
        <v>16</v>
      </c>
      <c r="F10" s="5">
        <v>-5000</v>
      </c>
      <c r="G10" s="5">
        <v>216455</v>
      </c>
    </row>
    <row r="11" spans="1:7" x14ac:dyDescent="0.35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11</v>
      </c>
      <c r="F11" s="5">
        <v>1250</v>
      </c>
      <c r="G11" s="5">
        <v>42010.77</v>
      </c>
    </row>
    <row r="12" spans="1:7" x14ac:dyDescent="0.3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11</v>
      </c>
      <c r="F12" s="5">
        <v>12000</v>
      </c>
      <c r="G12" s="5">
        <v>88044</v>
      </c>
    </row>
    <row r="13" spans="1:7" x14ac:dyDescent="0.35">
      <c r="A13" s="4" t="s">
        <v>48</v>
      </c>
      <c r="B13" s="4" t="s">
        <v>49</v>
      </c>
      <c r="C13" s="4" t="s">
        <v>25</v>
      </c>
      <c r="D13" s="4" t="s">
        <v>26</v>
      </c>
      <c r="E13" s="4" t="s">
        <v>11</v>
      </c>
      <c r="F13" s="5">
        <v>500</v>
      </c>
      <c r="G13" s="5">
        <v>9270.1</v>
      </c>
    </row>
    <row r="14" spans="1:7" x14ac:dyDescent="0.35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16</v>
      </c>
      <c r="F14" s="5">
        <v>-300</v>
      </c>
      <c r="G14" s="5">
        <v>4700</v>
      </c>
    </row>
    <row r="15" spans="1:7" x14ac:dyDescent="0.35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27</v>
      </c>
      <c r="F15" s="5">
        <v>-7800</v>
      </c>
      <c r="G15" s="5">
        <v>102200</v>
      </c>
    </row>
    <row r="16" spans="1:7" x14ac:dyDescent="0.35">
      <c r="A16" s="4" t="s">
        <v>58</v>
      </c>
      <c r="B16" s="4" t="s">
        <v>59</v>
      </c>
      <c r="C16" s="4" t="s">
        <v>36</v>
      </c>
      <c r="D16" s="4" t="s">
        <v>37</v>
      </c>
      <c r="E16" s="4" t="s">
        <v>11</v>
      </c>
      <c r="F16" s="5">
        <v>200</v>
      </c>
      <c r="G16" s="5">
        <v>21500</v>
      </c>
    </row>
    <row r="18" spans="5:6" x14ac:dyDescent="0.35">
      <c r="E18" t="s">
        <v>60</v>
      </c>
      <c r="F18">
        <f>SUMIF(F2:F16,"&gt;0")</f>
        <v>38130</v>
      </c>
    </row>
    <row r="19" spans="5:6" x14ac:dyDescent="0.35">
      <c r="E19" t="s">
        <v>61</v>
      </c>
      <c r="F19">
        <f>SUMIF(F2:F16,"&lt;0")</f>
        <v>-17550</v>
      </c>
    </row>
    <row r="20" spans="5:6" x14ac:dyDescent="0.35">
      <c r="E20" t="s">
        <v>62</v>
      </c>
      <c r="F20" s="6">
        <f>SUM(F2:F16)</f>
        <v>20580</v>
      </c>
    </row>
    <row r="21" spans="5:6" x14ac:dyDescent="0.35">
      <c r="E21" s="7" t="s">
        <v>63</v>
      </c>
      <c r="F21">
        <f>COUNTA(A2:A16)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44F9-F68A-477A-8E12-EFBFD78BEA2A}">
  <dimension ref="A1:D21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8" t="s">
        <v>64</v>
      </c>
      <c r="B1" s="1" t="s">
        <v>65</v>
      </c>
    </row>
    <row r="2" spans="1:4" x14ac:dyDescent="0.35">
      <c r="A2" s="8" t="s">
        <v>66</v>
      </c>
      <c r="B2" s="1" t="s">
        <v>67</v>
      </c>
    </row>
    <row r="3" spans="1:4" x14ac:dyDescent="0.35">
      <c r="A3" s="8" t="s">
        <v>68</v>
      </c>
      <c r="B3" s="1" t="s">
        <v>69</v>
      </c>
    </row>
    <row r="4" spans="1:4" x14ac:dyDescent="0.35">
      <c r="A4" s="8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6">
        <v>387420.18</v>
      </c>
    </row>
    <row r="8" spans="1:4" x14ac:dyDescent="0.35">
      <c r="A8" t="s">
        <v>74</v>
      </c>
      <c r="B8" s="6">
        <v>-4215.63</v>
      </c>
    </row>
    <row r="9" spans="1:4" x14ac:dyDescent="0.35">
      <c r="A9" t="s">
        <v>75</v>
      </c>
      <c r="B9" s="6">
        <v>-2100</v>
      </c>
    </row>
    <row r="10" spans="1:4" x14ac:dyDescent="0.35">
      <c r="A10" t="s">
        <v>76</v>
      </c>
      <c r="B10" s="6">
        <v>0</v>
      </c>
    </row>
    <row r="11" spans="1:4" x14ac:dyDescent="0.35">
      <c r="A11" t="s">
        <v>77</v>
      </c>
      <c r="B11" s="6">
        <v>381104.55</v>
      </c>
    </row>
    <row r="12" spans="1:4" x14ac:dyDescent="0.35">
      <c r="A12" t="s">
        <v>78</v>
      </c>
      <c r="B12" s="9">
        <v>1284</v>
      </c>
    </row>
    <row r="14" spans="1:4" x14ac:dyDescent="0.35">
      <c r="A14" s="10" t="s">
        <v>0</v>
      </c>
      <c r="B14" s="10" t="s">
        <v>3</v>
      </c>
      <c r="C14" s="10" t="s">
        <v>5</v>
      </c>
      <c r="D14" s="10" t="s">
        <v>79</v>
      </c>
    </row>
    <row r="15" spans="1:4" x14ac:dyDescent="0.35">
      <c r="A15" s="4" t="s">
        <v>80</v>
      </c>
      <c r="B15" s="4" t="s">
        <v>10</v>
      </c>
      <c r="C15" s="11">
        <v>5200</v>
      </c>
      <c r="D15" s="12" t="s">
        <v>81</v>
      </c>
    </row>
    <row r="16" spans="1:4" x14ac:dyDescent="0.35">
      <c r="A16" s="4" t="s">
        <v>82</v>
      </c>
      <c r="B16" s="4" t="s">
        <v>15</v>
      </c>
      <c r="C16" s="11">
        <v>1900</v>
      </c>
      <c r="D16" s="12" t="s">
        <v>81</v>
      </c>
    </row>
    <row r="17" spans="1:4" x14ac:dyDescent="0.35">
      <c r="A17" s="4" t="s">
        <v>83</v>
      </c>
      <c r="B17" s="4" t="s">
        <v>20</v>
      </c>
      <c r="C17" s="11">
        <v>15000</v>
      </c>
      <c r="D17" s="12" t="s">
        <v>81</v>
      </c>
    </row>
    <row r="18" spans="1:4" x14ac:dyDescent="0.35">
      <c r="A18" s="4" t="s">
        <v>84</v>
      </c>
      <c r="B18" s="4" t="s">
        <v>26</v>
      </c>
      <c r="C18" s="11">
        <v>2800</v>
      </c>
      <c r="D18" s="12" t="s">
        <v>81</v>
      </c>
    </row>
    <row r="19" spans="1:4" x14ac:dyDescent="0.35">
      <c r="A19" s="4" t="s">
        <v>85</v>
      </c>
      <c r="B19" s="4" t="s">
        <v>31</v>
      </c>
      <c r="C19" s="11">
        <v>980</v>
      </c>
      <c r="D19" s="12" t="s">
        <v>81</v>
      </c>
    </row>
    <row r="20" spans="1:4" x14ac:dyDescent="0.35">
      <c r="A20" s="4" t="s">
        <v>86</v>
      </c>
      <c r="B20" s="4" t="s">
        <v>47</v>
      </c>
      <c r="C20" s="11">
        <v>12000</v>
      </c>
      <c r="D20" s="12" t="s">
        <v>81</v>
      </c>
    </row>
    <row r="21" spans="1:4" x14ac:dyDescent="0.35">
      <c r="A21" s="4" t="s">
        <v>87</v>
      </c>
      <c r="B21" s="4" t="s">
        <v>57</v>
      </c>
      <c r="C21" s="11">
        <v>7800</v>
      </c>
      <c r="D21" s="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Mainframe TRANLIST</vt:lpstr>
      <vt:lpstr>CheshirePay 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2026-05-04T03:31:58Z</dcterms:created>
  <dcterms:modified xsi:type="dcterms:W3CDTF">2026-05-04T03:32:01Z</dcterms:modified>
</cp:coreProperties>
</file>